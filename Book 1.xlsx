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F0DD8187-FCC5-46EF-8537-52ED051726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me" sheetId="1" r:id="rId1"/>
    <sheet name="beta" sheetId="2" r:id="rId2"/>
    <sheet name="standard deviation" sheetId="3" r:id="rId3"/>
    <sheet name="max draw" sheetId="4" r:id="rId4"/>
    <sheet name="expected returns" sheetId="5" r:id="rId5"/>
    <sheet name="alpha" sheetId="6" r:id="rId6"/>
    <sheet name="sharpe ratio" sheetId="7" r:id="rId7"/>
    <sheet name="portfolio beta" sheetId="8" r:id="rId8"/>
    <sheet name="Sheet1" sheetId="9" r:id="rId9"/>
  </sheets>
  <definedNames>
    <definedName name="_xlnm._FilterDatabase" localSheetId="2" hidden="1">'standard deviation'!$K$1:$K$1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7" l="1"/>
  <c r="E12" i="7"/>
  <c r="C16" i="7"/>
  <c r="C14" i="7"/>
  <c r="C12" i="7"/>
  <c r="A5" i="7"/>
  <c r="A4" i="7"/>
  <c r="A3" i="7"/>
  <c r="A2" i="7"/>
  <c r="A1" i="7"/>
  <c r="E1" i="7" s="1"/>
  <c r="F16" i="6"/>
  <c r="F14" i="6"/>
  <c r="D18" i="6"/>
  <c r="D16" i="6"/>
  <c r="D14" i="6"/>
  <c r="A5" i="6"/>
  <c r="A4" i="6"/>
  <c r="A3" i="6"/>
  <c r="A2" i="6"/>
  <c r="A1" i="6"/>
  <c r="E1" i="6" s="1"/>
  <c r="F12" i="5"/>
  <c r="F10" i="5"/>
  <c r="D14" i="5"/>
  <c r="D12" i="5"/>
  <c r="D10" i="5"/>
  <c r="A5" i="5"/>
  <c r="A4" i="5"/>
  <c r="A3" i="5"/>
  <c r="A2" i="5"/>
  <c r="A1" i="5"/>
  <c r="E1" i="5" s="1"/>
  <c r="R5" i="1"/>
  <c r="C9" i="4"/>
  <c r="C7" i="4"/>
  <c r="C5" i="4"/>
  <c r="C3" i="4"/>
  <c r="C1" i="4"/>
  <c r="K1" i="4" s="1"/>
  <c r="C9" i="3"/>
  <c r="C7" i="3"/>
  <c r="C5" i="3"/>
  <c r="C3" i="3"/>
  <c r="C1" i="3"/>
  <c r="K1" i="3"/>
  <c r="K3" i="3"/>
  <c r="K5" i="3"/>
  <c r="K7" i="3"/>
  <c r="K9" i="3"/>
  <c r="H20" i="2"/>
  <c r="H18" i="2"/>
  <c r="H16" i="2"/>
  <c r="F20" i="2"/>
  <c r="F18" i="2"/>
  <c r="F16" i="2"/>
  <c r="A9" i="2"/>
  <c r="A7" i="2"/>
  <c r="A5" i="2"/>
  <c r="A3" i="2"/>
  <c r="A1" i="2"/>
  <c r="K1" i="2" s="1"/>
  <c r="L18" i="4"/>
  <c r="L16" i="4"/>
  <c r="L14" i="4"/>
  <c r="J18" i="4"/>
  <c r="N18" i="4" s="1"/>
  <c r="J16" i="4"/>
  <c r="N16" i="4" s="1"/>
  <c r="J14" i="4"/>
  <c r="N14" i="4" s="1"/>
  <c r="V17" i="3"/>
  <c r="V15" i="3"/>
  <c r="V13" i="3"/>
  <c r="R9" i="1"/>
  <c r="R8" i="1"/>
  <c r="T17" i="3"/>
  <c r="T15" i="3"/>
  <c r="T13" i="3"/>
  <c r="X13" i="3" s="1"/>
  <c r="V21" i="3"/>
  <c r="V19" i="3"/>
  <c r="X17" i="3"/>
  <c r="X15" i="3"/>
  <c r="X25" i="3"/>
  <c r="G18" i="9"/>
  <c r="H16" i="9"/>
  <c r="J13" i="9"/>
  <c r="J11" i="9"/>
  <c r="J9" i="9"/>
  <c r="J19" i="9" s="1"/>
  <c r="Y28" i="3" l="1" a="1"/>
  <c r="Y28" i="3" s="1"/>
  <c r="B16" i="1" s="1"/>
  <c r="K3" i="2"/>
  <c r="K5" i="2"/>
  <c r="K7" i="2"/>
  <c r="K9" i="2"/>
  <c r="J16" i="2"/>
  <c r="J18" i="2"/>
  <c r="J20" i="2"/>
  <c r="F14" i="5"/>
  <c r="E16" i="7"/>
  <c r="F18" i="6"/>
  <c r="E2" i="5"/>
  <c r="E3" i="5"/>
  <c r="E4" i="5"/>
  <c r="E5" i="5"/>
  <c r="H10" i="5"/>
  <c r="H12" i="5"/>
  <c r="H14" i="5"/>
  <c r="E2" i="6"/>
  <c r="E3" i="6"/>
  <c r="E4" i="6"/>
  <c r="E5" i="6"/>
  <c r="H14" i="6"/>
  <c r="H16" i="6"/>
  <c r="H18" i="6"/>
  <c r="H22" i="6"/>
  <c r="H23" i="6" s="1" a="1"/>
  <c r="H23" i="6" s="1"/>
  <c r="K15" i="1" s="1"/>
  <c r="F20" i="6"/>
  <c r="E2" i="7"/>
  <c r="E3" i="7"/>
  <c r="E4" i="7"/>
  <c r="E5" i="7"/>
  <c r="G12" i="7"/>
  <c r="G14" i="7"/>
  <c r="G16" i="7"/>
  <c r="G19" i="7"/>
  <c r="G20" i="7" s="1" a="1"/>
  <c r="G20" i="7" s="1"/>
  <c r="K17" i="1" s="1"/>
  <c r="E18" i="7"/>
  <c r="H17" i="5"/>
  <c r="H18" i="5" s="1" a="1"/>
  <c r="H18" i="5" s="1"/>
  <c r="K16" i="1" s="1"/>
  <c r="N21" i="4"/>
  <c r="N23" i="4" s="1" a="1"/>
  <c r="N23" i="4" s="1"/>
  <c r="B17" i="1" s="1"/>
  <c r="K3" i="4"/>
  <c r="K5" i="4"/>
  <c r="K7" i="4"/>
  <c r="K9" i="4"/>
  <c r="H24" i="2"/>
  <c r="H23" i="2"/>
  <c r="L21" i="4"/>
  <c r="L20" i="4"/>
  <c r="X26" i="3" a="1"/>
  <c r="X26" i="3" s="1"/>
  <c r="W27" i="3" a="1"/>
  <c r="W27" i="3" s="1"/>
  <c r="J24" i="2" l="1"/>
  <c r="M20" i="1"/>
  <c r="M21" i="1" s="1" a="1"/>
  <c r="M21" i="1" s="1"/>
  <c r="J25" i="2" l="1" a="1"/>
  <c r="J25" i="2" s="1"/>
  <c r="B15" i="1" s="1"/>
  <c r="C20" i="1" s="1"/>
  <c r="C21" i="1" s="1" a="1"/>
  <c r="C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<sst xmlns="http://schemas.openxmlformats.org/spreadsheetml/2006/main" count="28" uniqueCount="21">
  <si>
    <t>Stock 1</t>
  </si>
  <si>
    <t>costco</t>
  </si>
  <si>
    <t>Microsoft</t>
  </si>
  <si>
    <t>mcdonalds</t>
  </si>
  <si>
    <t>Stock 2</t>
  </si>
  <si>
    <t xml:space="preserve">nvidia </t>
  </si>
  <si>
    <t xml:space="preserve">coca cola </t>
  </si>
  <si>
    <t>stock 3</t>
  </si>
  <si>
    <t>OVERALL RISK</t>
  </si>
  <si>
    <t>OVERALL PERFORMANCE</t>
  </si>
  <si>
    <t>Risk</t>
  </si>
  <si>
    <t>weights</t>
  </si>
  <si>
    <t>Performance</t>
  </si>
  <si>
    <t>beta</t>
  </si>
  <si>
    <t>alpha</t>
  </si>
  <si>
    <t>stand dev</t>
  </si>
  <si>
    <t>returns</t>
  </si>
  <si>
    <t>max draw</t>
  </si>
  <si>
    <t>sharpe ratio</t>
  </si>
  <si>
    <t>risk</t>
  </si>
  <si>
    <t xml:space="preserve">mcdonalds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</si>
</sst>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7" formatCode="0.0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9" fontId="3" fillId="0" borderId="0" xfId="0" applyNumberFormat="1" applyFont="1"/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5700"/>
      </font>
      <fill>
        <patternFill patternType="solid"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0484E"/>
      <color rgb="FFF57D7D"/>
      <color rgb="FFEB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selection activeCell="M1" sqref="M1:M1048576"/>
    </sheetView>
  </sheetViews>
  <sheetFormatPr defaultRowHeight="15"/>
  <cols>
    <col min="3" max="3" width="13" customWidth="1"/>
    <col min="10" max="10" width="10.5703125" customWidth="1"/>
    <col min="11" max="11" width="11.5703125" customWidth="1"/>
    <col min="13" max="13" width="22.85546875" customWidth="1"/>
    <col min="16" max="16" width="10" customWidth="1"/>
    <col min="18" max="18" width="10.42578125" style="2" bestFit="1" customWidth="1"/>
    <col min="20" max="20" width="11.140625" customWidth="1"/>
    <col min="22" max="22" width="10.5703125" customWidth="1"/>
  </cols>
  <sheetData>
    <row r="1" spans="1:22">
      <c r="A1" t="s">
        <v>0</v>
      </c>
      <c r="P1" t="s">
        <v>1</v>
      </c>
      <c r="R1" s="2">
        <v>0.1</v>
      </c>
      <c r="V1" t="s">
        <v>2</v>
      </c>
    </row>
    <row r="2" spans="1:22">
      <c r="V2" t="s">
        <v>3</v>
      </c>
    </row>
    <row r="3" spans="1:22">
      <c r="A3" t="s">
        <v>4</v>
      </c>
      <c r="P3" t="s">
        <v>5</v>
      </c>
      <c r="R3" s="2">
        <v>0.8</v>
      </c>
      <c r="V3" t="s">
        <v>5</v>
      </c>
    </row>
    <row r="4" spans="1:22">
      <c r="V4" t="s">
        <v>6</v>
      </c>
    </row>
    <row r="5" spans="1:22">
      <c r="A5" t="s">
        <v>7</v>
      </c>
      <c r="P5" t="s">
        <v>3</v>
      </c>
      <c r="R5" s="2">
        <f>100%-(R1+R3)</f>
        <v>9.9999999999999978E-2</v>
      </c>
      <c r="V5" t="s">
        <v>1</v>
      </c>
    </row>
    <row r="8" spans="1:22">
      <c r="R8" s="2">
        <f>SUM(R1+R3+R5)</f>
        <v>1</v>
      </c>
    </row>
    <row r="9" spans="1:22">
      <c r="R9" s="2" t="str">
        <f>IF(SUM(R1+R3+R5)=100%,"valid","Must equal 100")</f>
        <v>valid</v>
      </c>
    </row>
    <row r="10" spans="1:22">
      <c r="C10" s="8" t="s">
        <v>8</v>
      </c>
      <c r="K10" s="8" t="s">
        <v>9</v>
      </c>
      <c r="L10" s="8"/>
      <c r="M10" s="8"/>
    </row>
    <row r="13" spans="1:22">
      <c r="B13" t="s">
        <v>10</v>
      </c>
      <c r="D13" t="s">
        <v>11</v>
      </c>
      <c r="K13" t="s">
        <v>12</v>
      </c>
      <c r="M13" t="s">
        <v>11</v>
      </c>
    </row>
    <row r="15" spans="1:22">
      <c r="A15" t="s">
        <v>13</v>
      </c>
      <c r="B15">
        <f>beta!J25</f>
        <v>20</v>
      </c>
      <c r="D15" s="2">
        <v>0.3</v>
      </c>
      <c r="J15" t="s">
        <v>14</v>
      </c>
      <c r="K15">
        <f>alpha!H23</f>
        <v>90</v>
      </c>
      <c r="M15" s="2">
        <v>0.3</v>
      </c>
    </row>
    <row r="16" spans="1:22">
      <c r="A16" t="s">
        <v>15</v>
      </c>
      <c r="B16">
        <f>'standard deviation'!Y28</f>
        <v>20</v>
      </c>
      <c r="D16" s="2">
        <v>0.4</v>
      </c>
      <c r="J16" t="s">
        <v>16</v>
      </c>
      <c r="K16">
        <f>'expected returns'!H18</f>
        <v>90</v>
      </c>
      <c r="M16" s="2">
        <v>0.4</v>
      </c>
    </row>
    <row r="17" spans="1:13">
      <c r="A17" t="s">
        <v>17</v>
      </c>
      <c r="B17">
        <f>'max draw'!N23</f>
        <v>20</v>
      </c>
      <c r="D17" s="2">
        <v>0.3</v>
      </c>
      <c r="J17" t="s">
        <v>18</v>
      </c>
      <c r="K17">
        <f>'sharpe ratio'!G20</f>
        <v>90</v>
      </c>
      <c r="M17" s="2">
        <v>0.3</v>
      </c>
    </row>
    <row r="20" spans="1:13">
      <c r="C20">
        <f>SUMPRODUCT(B15:B17,D15:D17)</f>
        <v>20</v>
      </c>
      <c r="M20">
        <f>SUMPRODUCT(K15:K17,M15:M17)</f>
        <v>90</v>
      </c>
    </row>
    <row r="21" spans="1:13">
      <c r="C21" t="str" cm="1">
        <f t="array" ref="C21">_xlfn.IFS(C20&gt;=80,"low risk",C20&gt;=60,"moderate risk",C20&gt;=40,"high risk",TRUE,"very high risk")</f>
        <v>very high risk</v>
      </c>
      <c r="M21" t="str" cm="1">
        <f t="array" ref="M21">_xlfn.IFS(M20&gt;=85,"Outstanding performance",M20&gt;=70,"Strong Performance",M20&gt;=55,"Satisfactory Performance",M20&gt;=40,"Below Target",TRUE,"Poor Performance")</f>
        <v>Outstanding performance</v>
      </c>
    </row>
    <row r="22" spans="1:13">
      <c r="G22" s="3"/>
      <c r="L22" s="2"/>
    </row>
    <row r="23" spans="1:13">
      <c r="G23" s="3"/>
      <c r="L23" s="2"/>
    </row>
    <row r="24" spans="1:13">
      <c r="G24" s="3"/>
      <c r="L24" s="2"/>
    </row>
    <row r="25" spans="1:13">
      <c r="L25" s="2"/>
    </row>
    <row r="26" spans="1:13">
      <c r="L26" s="2"/>
    </row>
    <row r="27" spans="1:13">
      <c r="L27" s="2"/>
    </row>
    <row r="28" spans="1:13">
      <c r="L28" s="2"/>
    </row>
    <row r="29" spans="1:13">
      <c r="L29" s="2"/>
    </row>
    <row r="30" spans="1:13">
      <c r="L30" s="2"/>
    </row>
    <row r="31" spans="1:13">
      <c r="E31" s="3"/>
      <c r="L31" s="2"/>
    </row>
    <row r="32" spans="1:13">
      <c r="L32" s="2"/>
    </row>
    <row r="33" spans="12:12">
      <c r="L33" s="2"/>
    </row>
    <row r="34" spans="12:12">
      <c r="L34" s="2"/>
    </row>
    <row r="35" spans="12:12">
      <c r="L35" s="2"/>
    </row>
    <row r="36" spans="12:12">
      <c r="L36" s="2"/>
    </row>
    <row r="37" spans="12:12">
      <c r="L37" s="2"/>
    </row>
    <row r="38" spans="12:12">
      <c r="L38" s="2"/>
    </row>
    <row r="39" spans="12:12">
      <c r="L39" s="2"/>
    </row>
    <row r="40" spans="12:12">
      <c r="L40" s="2"/>
    </row>
    <row r="41" spans="12:12">
      <c r="L41" s="2"/>
    </row>
  </sheetData>
  <conditionalFormatting sqref="C21">
    <cfRule type="containsText" dxfId="41" priority="19" operator="containsText" text="low risk">
      <formula>NOT(ISERROR(SEARCH("low risk",C21)))</formula>
    </cfRule>
  </conditionalFormatting>
  <conditionalFormatting sqref="C21">
    <cfRule type="containsText" dxfId="40" priority="18" operator="containsText" text="moderate risk">
      <formula>NOT(ISERROR(SEARCH("moderate risk",C21)))</formula>
    </cfRule>
  </conditionalFormatting>
  <conditionalFormatting sqref="C21">
    <cfRule type="containsText" dxfId="39" priority="17" operator="containsText" text="high risk">
      <formula>NOT(ISERROR(SEARCH("high risk",C21)))</formula>
    </cfRule>
  </conditionalFormatting>
  <conditionalFormatting sqref="C21">
    <cfRule type="containsText" dxfId="38" priority="16" operator="containsText" text="very high risk">
      <formula>NOT(ISERROR(SEARCH("very high risk",C21)))</formula>
    </cfRule>
  </conditionalFormatting>
  <conditionalFormatting sqref="M20">
    <cfRule type="cellIs" dxfId="37" priority="15" operator="between">
      <formula>85</formula>
      <formula>100</formula>
    </cfRule>
  </conditionalFormatting>
  <conditionalFormatting sqref="M20">
    <cfRule type="cellIs" dxfId="36" priority="14" operator="between">
      <formula>70</formula>
      <formula>84</formula>
    </cfRule>
  </conditionalFormatting>
  <conditionalFormatting sqref="M20">
    <cfRule type="cellIs" dxfId="35" priority="13" operator="between">
      <formula>55</formula>
      <formula>69</formula>
    </cfRule>
  </conditionalFormatting>
  <conditionalFormatting sqref="M20">
    <cfRule type="cellIs" dxfId="34" priority="12" operator="between">
      <formula>40</formula>
      <formula>54</formula>
    </cfRule>
  </conditionalFormatting>
  <conditionalFormatting sqref="M20">
    <cfRule type="cellIs" dxfId="33" priority="11" operator="lessThan">
      <formula>40</formula>
    </cfRule>
  </conditionalFormatting>
  <conditionalFormatting sqref="M21">
    <cfRule type="containsText" dxfId="32" priority="9" operator="containsText" text="Strong performance">
      <formula>NOT(ISERROR(SEARCH("Strong performance",M21)))</formula>
    </cfRule>
  </conditionalFormatting>
  <conditionalFormatting sqref="M21">
    <cfRule type="containsText" dxfId="31" priority="10" operator="containsText" text="Outstanding performance">
      <formula>NOT(ISERROR(SEARCH("Outstanding performance",M21)))</formula>
    </cfRule>
  </conditionalFormatting>
  <conditionalFormatting sqref="M21">
    <cfRule type="containsText" dxfId="30" priority="7" operator="containsText" text="Satisfactory Performance">
      <formula>NOT(ISERROR(SEARCH("Satisfactory Performance",M21)))</formula>
    </cfRule>
  </conditionalFormatting>
  <conditionalFormatting sqref="M21">
    <cfRule type="containsText" dxfId="29" priority="6" operator="containsText" text="Below Target">
      <formula>NOT(ISERROR(SEARCH("Below Target",M21)))</formula>
    </cfRule>
  </conditionalFormatting>
  <conditionalFormatting sqref="M21">
    <cfRule type="containsText" dxfId="28" priority="5" operator="containsText" text="Poor Performance">
      <formula>NOT(ISERROR(SEARCH("Poor Performance",M21)))</formula>
    </cfRule>
  </conditionalFormatting>
  <conditionalFormatting sqref="C20">
    <cfRule type="cellIs" dxfId="27" priority="4" operator="between">
      <formula>80</formula>
      <formula>100</formula>
    </cfRule>
  </conditionalFormatting>
  <conditionalFormatting sqref="C20">
    <cfRule type="cellIs" dxfId="26" priority="3" operator="between">
      <formula>60</formula>
      <formula>79</formula>
    </cfRule>
  </conditionalFormatting>
  <conditionalFormatting sqref="C20">
    <cfRule type="cellIs" dxfId="25" priority="2" operator="between">
      <formula>40</formula>
      <formula>59</formula>
    </cfRule>
  </conditionalFormatting>
  <conditionalFormatting sqref="C20">
    <cfRule type="cellIs" dxfId="24" priority="1" operator="lessThan">
      <formula>39</formula>
    </cfRule>
  </conditionalFormatting>
  <dataValidations count="3">
    <dataValidation type="list" allowBlank="1" showInputMessage="1" showErrorMessage="1" sqref="P9 D28 D24 D22 D20 D26 P13 P5 P3 P1" xr:uid="{2A64BEF5-A728-4C96-811B-E9D3F2EE7E03}">
      <formula1>$V$1:$V$5</formula1>
    </dataValidation>
    <dataValidation allowBlank="1" showInputMessage="1" showErrorMessage="1" sqref="R5" xr:uid="{917B1F0A-50D0-4F28-986D-B045A48C64EF}"/>
    <dataValidation type="list" allowBlank="1" showInputMessage="1" showErrorMessage="1" sqref="G22 G24" xr:uid="{E46F84A6-AB44-45EB-B3BD-27CCA12CB4CB}">
      <formula1>$J$16:$J$35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A6DBA9-9E01-487D-9464-54AA30C52964}">
          <x14:formula1>
            <xm:f>'standard deviation'!$Q$10:$Q$29</xm:f>
          </x14:formula1>
          <xm:sqref>R1 R3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1822-0147-484B-88EE-5AA7F1BC52C5}">
  <dimension ref="A1:S29"/>
  <sheetViews>
    <sheetView workbookViewId="0">
      <selection activeCell="J25" sqref="J25"/>
    </sheetView>
  </sheetViews>
  <sheetFormatPr defaultRowHeight="15"/>
  <cols>
    <col min="1" max="1" width="10.140625" customWidth="1"/>
    <col min="3" max="3" width="10" customWidth="1"/>
    <col min="4" max="4" width="11.42578125" bestFit="1" customWidth="1"/>
    <col min="5" max="5" width="9.140625" style="6"/>
    <col min="10" max="10" width="9.28515625" bestFit="1" customWidth="1"/>
    <col min="11" max="11" width="9.140625" style="6"/>
  </cols>
  <sheetData>
    <row r="1" spans="1:11">
      <c r="A1" s="1" t="str">
        <f>home!V1</f>
        <v>Microsoft</v>
      </c>
      <c r="C1" s="6">
        <v>0.95</v>
      </c>
      <c r="K1" s="6">
        <f>_xlfn.XLOOKUP(A1,A:A,C:C)</f>
        <v>0.95</v>
      </c>
    </row>
    <row r="3" spans="1:11">
      <c r="A3" t="str">
        <f>home!V2</f>
        <v>mcdonalds</v>
      </c>
      <c r="C3" s="6">
        <v>0.42</v>
      </c>
      <c r="K3" s="6">
        <f>_xlfn.XLOOKUP(A3,A:A,C:C)</f>
        <v>0.42</v>
      </c>
    </row>
    <row r="5" spans="1:11">
      <c r="A5" t="str">
        <f>home!V3</f>
        <v xml:space="preserve">nvidia </v>
      </c>
      <c r="C5" s="6">
        <v>2.1</v>
      </c>
      <c r="K5" s="6">
        <f>_xlfn.XLOOKUP(A5,A:A,C:C)</f>
        <v>2.1</v>
      </c>
    </row>
    <row r="7" spans="1:11">
      <c r="A7" t="str">
        <f>home!V4</f>
        <v xml:space="preserve">coca cola </v>
      </c>
      <c r="C7" s="6">
        <v>0.35</v>
      </c>
      <c r="K7" s="6">
        <f>_xlfn.XLOOKUP(A7,A:A,C:C)</f>
        <v>0.35</v>
      </c>
    </row>
    <row r="9" spans="1:11">
      <c r="A9" t="str">
        <f>home!V5</f>
        <v>costco</v>
      </c>
      <c r="C9" s="6">
        <v>0.85</v>
      </c>
      <c r="K9" s="6">
        <f>_xlfn.XLOOKUP(A9,A:A,C:C)</f>
        <v>0.85</v>
      </c>
    </row>
    <row r="15" spans="1:11">
      <c r="J15" s="4"/>
    </row>
    <row r="16" spans="1:11">
      <c r="C16" s="2"/>
      <c r="F16" t="str">
        <f>home!P1</f>
        <v>costco</v>
      </c>
      <c r="H16" s="2">
        <f>home!R1</f>
        <v>0.1</v>
      </c>
      <c r="J16">
        <f>_xlfn.XLOOKUP(F16,A:A,C:C)</f>
        <v>0.85</v>
      </c>
    </row>
    <row r="17" spans="3:19">
      <c r="C17" s="2"/>
      <c r="J17" s="2"/>
    </row>
    <row r="18" spans="3:19">
      <c r="C18" s="2"/>
      <c r="F18" t="str">
        <f>home!P3</f>
        <v xml:space="preserve">nvidia </v>
      </c>
      <c r="H18" s="2">
        <f>home!R3</f>
        <v>0.8</v>
      </c>
      <c r="J18">
        <f>_xlfn.XLOOKUP(F18,A:A,C:C)</f>
        <v>2.1</v>
      </c>
      <c r="S18" s="4"/>
    </row>
    <row r="19" spans="3:19">
      <c r="C19" s="2"/>
      <c r="J19" s="2"/>
    </row>
    <row r="20" spans="3:19">
      <c r="C20" s="2"/>
      <c r="F20" t="str">
        <f>home!P5</f>
        <v>mcdonalds</v>
      </c>
      <c r="H20" s="2">
        <f>home!R5</f>
        <v>9.9999999999999978E-2</v>
      </c>
      <c r="J20">
        <f>_xlfn.XLOOKUP(F20,A:A,C:C)</f>
        <v>0.42</v>
      </c>
    </row>
    <row r="21" spans="3:19">
      <c r="J21" s="2"/>
    </row>
    <row r="22" spans="3:19">
      <c r="S22" s="3"/>
    </row>
    <row r="23" spans="3:19">
      <c r="H23" s="2">
        <f>SUM(H16+H18+H20)</f>
        <v>1</v>
      </c>
      <c r="J23" t="s">
        <v>19</v>
      </c>
    </row>
    <row r="24" spans="3:19">
      <c r="H24" t="str">
        <f>IF(SUM(H16+H18+H20=100%),"valid","must equal 100%")</f>
        <v>valid</v>
      </c>
      <c r="J24" s="7">
        <f>SUMPRODUCT(H16:H20,J16:J20)</f>
        <v>1.8070000000000002</v>
      </c>
      <c r="S24" s="3"/>
    </row>
    <row r="25" spans="3:19">
      <c r="J25" cm="1">
        <f t="array" ref="J25">_xlfn.IFS(J24&lt;=0.6,100,J24&lt;=0.8,90,J24&lt;=1,80,J24&lt;=1.2,70,J24&lt;=1.4,60,J24&lt;=1.6,50,J24&lt;=1.8,40,J24&lt;=2,20,TRUE,0)</f>
        <v>20</v>
      </c>
    </row>
    <row r="26" spans="3:19">
      <c r="S26" s="3"/>
    </row>
    <row r="29" spans="3:19">
      <c r="S29" s="3"/>
    </row>
  </sheetData>
  <conditionalFormatting sqref="J24">
    <cfRule type="cellIs" dxfId="23" priority="3" operator="lessThan">
      <formula>60</formula>
    </cfRule>
  </conditionalFormatting>
  <conditionalFormatting sqref="J24">
    <cfRule type="cellIs" dxfId="22" priority="2" operator="between">
      <formula>60</formula>
      <formula>79</formula>
    </cfRule>
  </conditionalFormatting>
  <conditionalFormatting sqref="J24">
    <cfRule type="cellIs" dxfId="21" priority="1" operator="greaterThanOrEqual">
      <formula>80</formula>
    </cfRule>
  </conditionalFormatting>
  <dataValidations count="5">
    <dataValidation type="list" allowBlank="1" showInputMessage="1" showErrorMessage="1" sqref="S22 S24 S26" xr:uid="{2604C83C-5C1C-4D0B-9BB8-76DD9741574B}">
      <formula1>$J$16:$J$35</formula1>
    </dataValidation>
    <dataValidation type="list" allowBlank="1" showInputMessage="1" showErrorMessage="1" sqref="H25" xr:uid="{470B41E3-3E09-4A8E-94AF-0A8C11398A8D}">
      <formula1>$T$1:$T$5</formula1>
    </dataValidation>
    <dataValidation type="list" allowBlank="1" showInputMessage="1" showErrorMessage="1" sqref="Q22 Q24 Q26 G17" xr:uid="{689AC8C5-259F-41BF-86EB-94778D3D8D6A}">
      <formula1>$C$1:$C$9</formula1>
    </dataValidation>
    <dataValidation type="list" allowBlank="1" showInputMessage="1" showErrorMessage="1" sqref="H21 H19 H17" xr:uid="{BF561302-0B2A-4973-9879-1B50864F2DFA}">
      <formula1>$C$1:$C$10</formula1>
    </dataValidation>
    <dataValidation allowBlank="1" showInputMessage="1" showErrorMessage="1" sqref="H23 J19 J17" xr:uid="{9D847608-9A41-4CB8-80C7-C7807BB8B5B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C3D5F7-7401-42AA-AA2A-2A39A4363DCD}">
          <x14:formula1>
            <xm:f>'standard deviation'!$Q$10:$Q$29</xm:f>
          </x14:formula1>
          <xm:sqref>J21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C58B-31D7-443D-9511-10BA7E2F6197}">
  <dimension ref="C1:AA29"/>
  <sheetViews>
    <sheetView workbookViewId="0">
      <selection activeCell="Y28" sqref="Y28"/>
    </sheetView>
  </sheetViews>
  <sheetFormatPr defaultRowHeight="15"/>
  <cols>
    <col min="3" max="3" width="18.7109375" customWidth="1"/>
    <col min="11" max="11" width="9.85546875" bestFit="1" customWidth="1"/>
    <col min="27" max="27" width="9.140625" style="2"/>
  </cols>
  <sheetData>
    <row r="1" spans="3:24">
      <c r="C1" t="str">
        <f>home!V1</f>
        <v>Microsoft</v>
      </c>
      <c r="E1" s="2">
        <v>0.28000000000000003</v>
      </c>
      <c r="K1" s="2">
        <f>_xlfn.XLOOKUP(C1,C:C,E:E)</f>
        <v>0.28000000000000003</v>
      </c>
    </row>
    <row r="3" spans="3:24">
      <c r="C3" t="str">
        <f>home!V2</f>
        <v>mcdonalds</v>
      </c>
      <c r="E3" s="2">
        <v>0.2</v>
      </c>
      <c r="K3" s="2">
        <f>_xlfn.XLOOKUP(C3,C:C,E:E)</f>
        <v>0.2</v>
      </c>
    </row>
    <row r="5" spans="3:24">
      <c r="C5" t="str">
        <f>home!V3</f>
        <v xml:space="preserve">nvidia </v>
      </c>
      <c r="E5" s="2">
        <v>0.55000000000000004</v>
      </c>
      <c r="K5" s="2">
        <f>_xlfn.XLOOKUP(C5,C:C,E:E)</f>
        <v>0.55000000000000004</v>
      </c>
    </row>
    <row r="7" spans="3:24">
      <c r="C7" t="str">
        <f>home!V4</f>
        <v xml:space="preserve">coca cola </v>
      </c>
      <c r="E7" s="2">
        <v>0.18</v>
      </c>
      <c r="K7" s="2">
        <f>_xlfn.XLOOKUP(C7,C:C,E:E)</f>
        <v>0.18</v>
      </c>
    </row>
    <row r="9" spans="3:24">
      <c r="C9" t="str">
        <f>home!V5</f>
        <v>costco</v>
      </c>
      <c r="E9" s="2">
        <v>0.24</v>
      </c>
      <c r="K9" s="2">
        <f>_xlfn.XLOOKUP(C9,C:C,E:E)</f>
        <v>0.24</v>
      </c>
    </row>
    <row r="10" spans="3:24">
      <c r="Q10" s="2">
        <v>0.05</v>
      </c>
    </row>
    <row r="11" spans="3:24">
      <c r="Q11" s="2">
        <v>0.1</v>
      </c>
    </row>
    <row r="12" spans="3:24">
      <c r="Q12" s="2">
        <v>0.15</v>
      </c>
      <c r="X12" s="2"/>
    </row>
    <row r="13" spans="3:24">
      <c r="Q13" s="2">
        <v>0.2</v>
      </c>
      <c r="T13" t="str">
        <f>home!P1</f>
        <v>costco</v>
      </c>
      <c r="V13" s="3">
        <f>home!R1</f>
        <v>0.1</v>
      </c>
      <c r="X13" s="2">
        <f>VLOOKUP(T13,C1:E9,3,FALSE)</f>
        <v>0.24</v>
      </c>
    </row>
    <row r="14" spans="3:24">
      <c r="Q14" s="2">
        <v>0.25</v>
      </c>
      <c r="X14" s="2"/>
    </row>
    <row r="15" spans="3:24">
      <c r="Q15" s="2">
        <v>0.3</v>
      </c>
      <c r="T15" t="str">
        <f>home!P3</f>
        <v xml:space="preserve">nvidia </v>
      </c>
      <c r="V15" s="3">
        <f>home!R3</f>
        <v>0.8</v>
      </c>
      <c r="X15" s="2">
        <f>VLOOKUP(T15,C1:E9,3,FALSE)</f>
        <v>0.55000000000000004</v>
      </c>
    </row>
    <row r="16" spans="3:24">
      <c r="I16" s="4"/>
      <c r="Q16" s="2">
        <v>0.35</v>
      </c>
      <c r="X16" s="2"/>
    </row>
    <row r="17" spans="9:25">
      <c r="Q17" s="2">
        <v>0.4</v>
      </c>
      <c r="T17" t="str">
        <f>home!P5</f>
        <v>mcdonalds</v>
      </c>
      <c r="V17" s="3">
        <f>home!R5</f>
        <v>9.9999999999999978E-2</v>
      </c>
      <c r="X17" s="2">
        <f>VLOOKUP(T17,C1:E9,3,FALSE)</f>
        <v>0.2</v>
      </c>
    </row>
    <row r="18" spans="9:25">
      <c r="Q18" s="2">
        <v>0.45</v>
      </c>
    </row>
    <row r="19" spans="9:25">
      <c r="Q19" s="2">
        <v>0.5</v>
      </c>
      <c r="V19" s="3">
        <f>SUM(V13+V15+V17)</f>
        <v>1</v>
      </c>
    </row>
    <row r="20" spans="9:25">
      <c r="I20" s="3"/>
      <c r="Q20" s="2">
        <v>0.55000000000000004</v>
      </c>
    </row>
    <row r="21" spans="9:25">
      <c r="Q21" s="2">
        <v>0.6</v>
      </c>
      <c r="V21" t="str">
        <f>IF(SUM(V13+V15+V17)=100%,"valid","must add up to 100%")</f>
        <v>valid</v>
      </c>
    </row>
    <row r="22" spans="9:25">
      <c r="I22" s="3"/>
      <c r="Q22" s="2">
        <v>0.65</v>
      </c>
    </row>
    <row r="23" spans="9:25">
      <c r="Q23" s="2">
        <v>0.7</v>
      </c>
    </row>
    <row r="24" spans="9:25">
      <c r="I24" s="3"/>
      <c r="Q24" s="2">
        <v>0.75</v>
      </c>
    </row>
    <row r="25" spans="9:25">
      <c r="Q25" s="2">
        <v>0.8</v>
      </c>
      <c r="X25" s="5">
        <f>SUMPRODUCT(V13:V17,X13:X17)</f>
        <v>0.4840000000000001</v>
      </c>
    </row>
    <row r="26" spans="9:25">
      <c r="Q26" s="2">
        <v>0.85</v>
      </c>
      <c r="X26" t="str" cm="1">
        <f t="array" ref="X26">_xlfn.IFS(X25&lt;15%,"low risk",X25&lt;25%,"moderate risk",X25&lt;35%,"high risk",X25&gt;=35%,"high risk")</f>
        <v>high risk</v>
      </c>
    </row>
    <row r="27" spans="9:25">
      <c r="I27" s="3"/>
      <c r="Q27" s="2">
        <v>0.9</v>
      </c>
      <c r="W27" cm="1">
        <f t="array" ref="W27">_xlfn.IFS(X25&lt;15%,4,X25&lt;25%,3,X25&lt;35%,2,X25&gt;=35%,1)</f>
        <v>1</v>
      </c>
    </row>
    <row r="28" spans="9:25">
      <c r="Q28" s="2">
        <v>0.95</v>
      </c>
      <c r="Y28" cm="1">
        <f t="array" ref="Y28">_xlfn.IFS(X25&lt;=0.1,100,X25&lt;=0.15,90,X25&lt;=0.2,80,X25&lt;=0.25,70,X25&lt;=0.3,60,X25&lt;=0.35,50,X25&lt;=0.4,40,X25&lt;=0.45,30,X25&lt;=0.5,20,TRUE,10)</f>
        <v>20</v>
      </c>
    </row>
    <row r="29" spans="9:25">
      <c r="Q29" s="2">
        <v>1</v>
      </c>
    </row>
  </sheetData>
  <autoFilter ref="K1" xr:uid="{B297C58B-31D7-443D-9511-10BA7E2F6197}"/>
  <conditionalFormatting sqref="W27">
    <cfRule type="cellIs" dxfId="20" priority="4" operator="equal">
      <formula>4</formula>
    </cfRule>
  </conditionalFormatting>
  <conditionalFormatting sqref="W27">
    <cfRule type="cellIs" dxfId="19" priority="3" operator="equal">
      <formula>3</formula>
    </cfRule>
  </conditionalFormatting>
  <conditionalFormatting sqref="W27">
    <cfRule type="cellIs" dxfId="18" priority="2" operator="equal">
      <formula>2</formula>
    </cfRule>
  </conditionalFormatting>
  <conditionalFormatting sqref="W27">
    <cfRule type="cellIs" dxfId="17" priority="1" operator="equal">
      <formula>1</formula>
    </cfRule>
  </conditionalFormatting>
  <dataValidations count="1">
    <dataValidation allowBlank="1" showInputMessage="1" showErrorMessage="1" sqref="T17 I20 I22 I24 G20 G22 G24 T13 T15 V13 V15 V17" xr:uid="{2F7C490D-EF88-4574-B75B-1CDAED449CC8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6EBE-21EC-4506-8688-ADB7948E7725}">
  <dimension ref="C1:N23"/>
  <sheetViews>
    <sheetView workbookViewId="0">
      <selection activeCell="N23" sqref="N23"/>
    </sheetView>
  </sheetViews>
  <sheetFormatPr defaultRowHeight="15"/>
  <cols>
    <col min="10" max="10" width="10.140625" customWidth="1"/>
    <col min="11" max="11" width="9.140625" style="3"/>
    <col min="14" max="14" width="9.140625" style="2"/>
  </cols>
  <sheetData>
    <row r="1" spans="3:14">
      <c r="C1" s="1" t="str">
        <f>home!V1</f>
        <v>Microsoft</v>
      </c>
      <c r="E1" s="2">
        <v>0.55000000000000004</v>
      </c>
      <c r="K1" s="2">
        <f>_xlfn.XLOOKUP(C1,C:C,E:E)</f>
        <v>0.55000000000000004</v>
      </c>
    </row>
    <row r="3" spans="3:14">
      <c r="C3" t="str">
        <f>home!V2</f>
        <v>mcdonalds</v>
      </c>
      <c r="E3" s="2">
        <v>0.4</v>
      </c>
      <c r="K3" s="2">
        <f>_xlfn.XLOOKUP(C3,C:C,E:E)</f>
        <v>0.4</v>
      </c>
    </row>
    <row r="5" spans="3:14">
      <c r="C5" t="str">
        <f>home!V3</f>
        <v xml:space="preserve">nvidia </v>
      </c>
      <c r="E5" s="2">
        <v>0.83</v>
      </c>
      <c r="K5" s="2">
        <f>_xlfn.XLOOKUP(C5,C:C,E:E)</f>
        <v>0.83</v>
      </c>
    </row>
    <row r="7" spans="3:14">
      <c r="C7" t="str">
        <f>home!V4</f>
        <v xml:space="preserve">coca cola </v>
      </c>
      <c r="E7" s="2">
        <v>0.35</v>
      </c>
      <c r="K7" s="2">
        <f>_xlfn.XLOOKUP(C7,C:C,E:E)</f>
        <v>0.35</v>
      </c>
    </row>
    <row r="9" spans="3:14">
      <c r="C9" t="str">
        <f>home!V5</f>
        <v>costco</v>
      </c>
      <c r="E9" s="2">
        <v>0.32</v>
      </c>
      <c r="K9" s="2">
        <f>_xlfn.XLOOKUP(C9,C:C,E:E)</f>
        <v>0.32</v>
      </c>
    </row>
    <row r="14" spans="3:14">
      <c r="J14" t="str">
        <f>home!P1</f>
        <v>costco</v>
      </c>
      <c r="L14" s="2">
        <f>home!R1</f>
        <v>0.1</v>
      </c>
      <c r="N14" s="2">
        <f>_xlfn.XLOOKUP(J14,C:C,E:E)</f>
        <v>0.32</v>
      </c>
    </row>
    <row r="16" spans="3:14">
      <c r="J16" t="str">
        <f>home!P3</f>
        <v xml:space="preserve">nvidia </v>
      </c>
      <c r="L16" s="2">
        <f>home!R3</f>
        <v>0.8</v>
      </c>
      <c r="N16" s="2">
        <f>_xlfn.XLOOKUP(J16,C:C,E:E)</f>
        <v>0.83</v>
      </c>
    </row>
    <row r="18" spans="10:14">
      <c r="J18" t="str">
        <f>home!P5</f>
        <v>mcdonalds</v>
      </c>
      <c r="L18" s="2">
        <f>home!R5</f>
        <v>9.9999999999999978E-2</v>
      </c>
      <c r="N18" s="2">
        <f>_xlfn.XLOOKUP(J18,C:C,E:E)</f>
        <v>0.4</v>
      </c>
    </row>
    <row r="20" spans="10:14">
      <c r="L20" s="2">
        <f>SUM(L14+L16+L18)</f>
        <v>1</v>
      </c>
    </row>
    <row r="21" spans="10:14">
      <c r="L21" s="3" t="str">
        <f>IF(SUM(L14+L16+L18)=100%,"valid","must add up to 100%")</f>
        <v>valid</v>
      </c>
      <c r="N21" s="6">
        <f>SUMPRODUCT(L14:L18,N14:N18)</f>
        <v>0.7360000000000001</v>
      </c>
    </row>
    <row r="23" spans="10:14">
      <c r="N23" cm="1">
        <f t="array" ref="N23">_xlfn.IFS(N21&lt;=0.1,100,N21&lt;=0.2,80,N21&lt;=0.3,60,N21&lt;=0.4,40,TRUE,20)</f>
        <v>20</v>
      </c>
    </row>
  </sheetData>
  <conditionalFormatting sqref="N23">
    <cfRule type="cellIs" dxfId="16" priority="5" operator="equal">
      <formula>100</formula>
    </cfRule>
  </conditionalFormatting>
  <conditionalFormatting sqref="N23">
    <cfRule type="cellIs" dxfId="15" priority="4" operator="equal">
      <formula>80</formula>
    </cfRule>
  </conditionalFormatting>
  <conditionalFormatting sqref="N23">
    <cfRule type="cellIs" dxfId="14" priority="3" operator="equal">
      <formula>60</formula>
    </cfRule>
  </conditionalFormatting>
  <conditionalFormatting sqref="N23">
    <cfRule type="cellIs" dxfId="13" priority="2" operator="equal">
      <formula>40</formula>
    </cfRule>
  </conditionalFormatting>
  <conditionalFormatting sqref="N23">
    <cfRule type="cellIs" dxfId="12" priority="1" operator="equal">
      <formula>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183-8B48-4DFF-BAC3-AAF10B68ED7D}">
  <dimension ref="A1:H18"/>
  <sheetViews>
    <sheetView workbookViewId="0">
      <selection activeCell="J20" sqref="J20"/>
    </sheetView>
  </sheetViews>
  <sheetFormatPr defaultRowHeight="15"/>
  <cols>
    <col min="5" max="5" width="9.140625" style="2"/>
    <col min="8" max="8" width="9.140625" style="2"/>
  </cols>
  <sheetData>
    <row r="1" spans="1:8">
      <c r="A1" t="str">
        <f>home!V1</f>
        <v>Microsoft</v>
      </c>
      <c r="C1" s="9">
        <v>0.12</v>
      </c>
      <c r="E1" s="2">
        <f>_xlfn.XLOOKUP(A1,A:A,C:C)</f>
        <v>0.12</v>
      </c>
    </row>
    <row r="2" spans="1:8">
      <c r="A2" t="str">
        <f>home!V2</f>
        <v>mcdonalds</v>
      </c>
      <c r="C2" s="9">
        <v>0.09</v>
      </c>
      <c r="E2" s="2">
        <f>_xlfn.XLOOKUP(A2,A:A,C:C)</f>
        <v>0.09</v>
      </c>
    </row>
    <row r="3" spans="1:8">
      <c r="A3" t="str">
        <f>home!V3</f>
        <v xml:space="preserve">nvidia </v>
      </c>
      <c r="C3" s="9">
        <v>0.18</v>
      </c>
      <c r="E3" s="2">
        <f>_xlfn.XLOOKUP(A3,A:A,C:C)</f>
        <v>0.18</v>
      </c>
    </row>
    <row r="4" spans="1:8">
      <c r="A4" t="str">
        <f>home!V4</f>
        <v xml:space="preserve">coca cola </v>
      </c>
      <c r="C4" s="9">
        <v>7.0000000000000007E-2</v>
      </c>
      <c r="E4" s="2">
        <f>_xlfn.XLOOKUP(A4,A:A,C:C)</f>
        <v>7.0000000000000007E-2</v>
      </c>
    </row>
    <row r="5" spans="1:8">
      <c r="A5" t="str">
        <f>home!V5</f>
        <v>costco</v>
      </c>
      <c r="C5" s="9">
        <v>0.11</v>
      </c>
      <c r="E5" s="2">
        <f>_xlfn.XLOOKUP(A5,A:A,C:C)</f>
        <v>0.11</v>
      </c>
    </row>
    <row r="10" spans="1:8">
      <c r="D10" t="str">
        <f>home!P1</f>
        <v>costco</v>
      </c>
      <c r="F10" s="2">
        <f>home!R1</f>
        <v>0.1</v>
      </c>
      <c r="H10" s="2">
        <f>_xlfn.XLOOKUP(D10,A:A,C:C)</f>
        <v>0.11</v>
      </c>
    </row>
    <row r="12" spans="1:8">
      <c r="D12" t="str">
        <f>home!P3</f>
        <v xml:space="preserve">nvidia </v>
      </c>
      <c r="F12" s="2">
        <f>home!R3</f>
        <v>0.8</v>
      </c>
      <c r="H12" s="2">
        <f>_xlfn.XLOOKUP(D12,A:A,C:C)</f>
        <v>0.18</v>
      </c>
    </row>
    <row r="14" spans="1:8">
      <c r="D14" t="str">
        <f>home!P5</f>
        <v>mcdonalds</v>
      </c>
      <c r="F14" s="2">
        <f>home!R5</f>
        <v>9.9999999999999978E-2</v>
      </c>
      <c r="H14" s="2">
        <f>_xlfn.XLOOKUP(D14,A:A,C:C)</f>
        <v>0.09</v>
      </c>
    </row>
    <row r="17" spans="8:8">
      <c r="H17" s="3">
        <f>SUMPRODUCT(F10:F14,H10:H14)</f>
        <v>0.16400000000000001</v>
      </c>
    </row>
    <row r="18" spans="8:8">
      <c r="H18" cm="1">
        <f t="array" ref="H18">_xlfn.IFS(H17&gt;=0.18,100,H17&gt;=0.16,90,H17&gt;=0.14,80,H17&gt;=0.12,70,H17&gt;=0.1,60,H17&gt;=0.08,50,H17&gt;=0.06,40,H17&gt;=0.04,30,H17&gt;=0.02,20,TRUE,10)</f>
        <v>90</v>
      </c>
    </row>
  </sheetData>
  <conditionalFormatting sqref="H18">
    <cfRule type="cellIs" dxfId="11" priority="4" operator="between">
      <formula>80</formula>
      <formula>100</formula>
    </cfRule>
  </conditionalFormatting>
  <conditionalFormatting sqref="H18">
    <cfRule type="cellIs" dxfId="10" priority="3" operator="between">
      <formula>60</formula>
      <formula>79</formula>
    </cfRule>
  </conditionalFormatting>
  <conditionalFormatting sqref="H18">
    <cfRule type="cellIs" dxfId="9" priority="2" operator="between">
      <formula>40</formula>
      <formula>59</formula>
    </cfRule>
  </conditionalFormatting>
  <conditionalFormatting sqref="H18">
    <cfRule type="cellIs" dxfId="8" priority="1" operator="lessThan">
      <formula>40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957B-250E-4F0A-90D1-36C68B474B13}">
  <dimension ref="A1:H23"/>
  <sheetViews>
    <sheetView workbookViewId="0">
      <selection activeCell="L24" sqref="L24"/>
    </sheetView>
  </sheetViews>
  <sheetFormatPr defaultRowHeight="15"/>
  <cols>
    <col min="5" max="5" width="9.140625" style="3"/>
    <col min="8" max="8" width="9.140625" style="5"/>
  </cols>
  <sheetData>
    <row r="1" spans="1:8">
      <c r="A1" t="str">
        <f>home!V1</f>
        <v>Microsoft</v>
      </c>
      <c r="C1" s="3">
        <v>2.5000000000000001E-2</v>
      </c>
      <c r="E1" s="3">
        <f>_xlfn.XLOOKUP(A1,A:A,C:C)</f>
        <v>2.5000000000000001E-2</v>
      </c>
    </row>
    <row r="2" spans="1:8">
      <c r="A2" t="str">
        <f>home!V2</f>
        <v>mcdonalds</v>
      </c>
      <c r="C2" s="2">
        <v>0.01</v>
      </c>
      <c r="E2" s="3">
        <f>_xlfn.XLOOKUP(A2,A:A,C:C)</f>
        <v>0.01</v>
      </c>
    </row>
    <row r="3" spans="1:8">
      <c r="A3" t="str">
        <f>home!V3</f>
        <v xml:space="preserve">nvidia </v>
      </c>
      <c r="C3" s="2">
        <v>0.05</v>
      </c>
      <c r="E3" s="3">
        <f>_xlfn.XLOOKUP(A3,A:A,C:C)</f>
        <v>0.05</v>
      </c>
    </row>
    <row r="4" spans="1:8">
      <c r="A4" t="str">
        <f>home!V4</f>
        <v xml:space="preserve">coca cola </v>
      </c>
      <c r="C4" s="3">
        <v>5.0000000000000001E-3</v>
      </c>
      <c r="E4" s="3">
        <f>_xlfn.XLOOKUP(A4,A:A,C:C)</f>
        <v>5.0000000000000001E-3</v>
      </c>
    </row>
    <row r="5" spans="1:8">
      <c r="A5" t="str">
        <f>home!V5</f>
        <v>costco</v>
      </c>
      <c r="C5" s="3">
        <v>1.7999999999999999E-2</v>
      </c>
      <c r="E5" s="3">
        <f>_xlfn.XLOOKUP(A5,A:A,C:C)</f>
        <v>1.7999999999999999E-2</v>
      </c>
    </row>
    <row r="14" spans="1:8">
      <c r="D14" t="str">
        <f>home!P1</f>
        <v>costco</v>
      </c>
      <c r="F14" s="2">
        <f>home!R1</f>
        <v>0.1</v>
      </c>
      <c r="H14" s="5">
        <f>_xlfn.XLOOKUP(D14,A:A,C:C)</f>
        <v>1.7999999999999999E-2</v>
      </c>
    </row>
    <row r="16" spans="1:8">
      <c r="D16" t="str">
        <f>home!P3</f>
        <v xml:space="preserve">nvidia </v>
      </c>
      <c r="F16" s="2">
        <f>home!R3</f>
        <v>0.8</v>
      </c>
      <c r="H16" s="5">
        <f>_xlfn.XLOOKUP(D16,A:A,C:C)</f>
        <v>0.05</v>
      </c>
    </row>
    <row r="18" spans="4:8">
      <c r="D18" t="str">
        <f>home!P5</f>
        <v>mcdonalds</v>
      </c>
      <c r="F18" s="2">
        <f>home!R5</f>
        <v>9.9999999999999978E-2</v>
      </c>
      <c r="H18" s="5">
        <f>_xlfn.XLOOKUP(D18,A:A,C:C)</f>
        <v>0.01</v>
      </c>
    </row>
    <row r="20" spans="4:8">
      <c r="F20" s="2">
        <f>SUM(F14+F16+F18)</f>
        <v>1</v>
      </c>
    </row>
    <row r="22" spans="4:8">
      <c r="H22" s="6">
        <f>SUMPRODUCT(F14:F18,H14:H18)</f>
        <v>4.2800000000000012E-2</v>
      </c>
    </row>
    <row r="23" spans="4:8">
      <c r="H23" s="10" cm="1">
        <f t="array" ref="H23">_xlfn.IFS(H22&gt;=0.05,100,H22&gt;=0.03,90,H22&gt;=0.02,80,H22&gt;=0.01,70,H22&gt;=0,60,H22&gt;=-0.01,40,H22&gt;=-0.02,20,TRUE,0)</f>
        <v>90</v>
      </c>
    </row>
  </sheetData>
  <conditionalFormatting sqref="H23">
    <cfRule type="cellIs" dxfId="7" priority="4" operator="between">
      <formula>80</formula>
      <formula>100</formula>
    </cfRule>
  </conditionalFormatting>
  <conditionalFormatting sqref="H23">
    <cfRule type="cellIs" dxfId="6" priority="3" operator="between">
      <formula>60</formula>
      <formula>79</formula>
    </cfRule>
  </conditionalFormatting>
  <conditionalFormatting sqref="H23">
    <cfRule type="cellIs" dxfId="5" priority="2" operator="between">
      <formula>40</formula>
      <formula>59</formula>
    </cfRule>
  </conditionalFormatting>
  <conditionalFormatting sqref="H23">
    <cfRule type="cellIs" dxfId="4" priority="1" operator="lessThan">
      <formula>39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1A28-C572-4E5C-9496-189AC611E6BA}">
  <dimension ref="A1:G20"/>
  <sheetViews>
    <sheetView workbookViewId="0">
      <selection activeCell="K21" sqref="K21"/>
    </sheetView>
  </sheetViews>
  <sheetFormatPr defaultRowHeight="15"/>
  <sheetData>
    <row r="1" spans="1:7">
      <c r="A1" t="str">
        <f>home!V1</f>
        <v>Microsoft</v>
      </c>
      <c r="C1">
        <v>1.1000000000000001</v>
      </c>
      <c r="E1">
        <f>_xlfn.XLOOKUP(A1,A:A,C:C)</f>
        <v>1.1000000000000001</v>
      </c>
    </row>
    <row r="2" spans="1:7">
      <c r="A2" t="str">
        <f>home!V2</f>
        <v>mcdonalds</v>
      </c>
      <c r="C2">
        <v>0.85</v>
      </c>
      <c r="E2">
        <f>_xlfn.XLOOKUP(A2,A:A,C:C)</f>
        <v>0.85</v>
      </c>
    </row>
    <row r="3" spans="1:7">
      <c r="A3" t="str">
        <f>home!V3</f>
        <v xml:space="preserve">nvidia </v>
      </c>
      <c r="C3">
        <v>1.3</v>
      </c>
      <c r="E3">
        <f>_xlfn.XLOOKUP(A3,A:A,C:C)</f>
        <v>1.3</v>
      </c>
    </row>
    <row r="4" spans="1:7">
      <c r="A4" t="str">
        <f>home!V4</f>
        <v xml:space="preserve">coca cola </v>
      </c>
      <c r="C4">
        <v>0.75</v>
      </c>
      <c r="E4">
        <f>_xlfn.XLOOKUP(A4,A:A,C:C)</f>
        <v>0.75</v>
      </c>
    </row>
    <row r="5" spans="1:7">
      <c r="A5" t="str">
        <f>home!V5</f>
        <v>costco</v>
      </c>
      <c r="C5">
        <v>0.95</v>
      </c>
      <c r="E5">
        <f>_xlfn.XLOOKUP(A5,A:A,C:C)</f>
        <v>0.95</v>
      </c>
    </row>
    <row r="12" spans="1:7">
      <c r="C12" t="str">
        <f>home!P1</f>
        <v>costco</v>
      </c>
      <c r="E12" s="2">
        <f>home!R1</f>
        <v>0.1</v>
      </c>
      <c r="G12">
        <f>_xlfn.XLOOKUP(C12,A:A,C:C)</f>
        <v>0.95</v>
      </c>
    </row>
    <row r="14" spans="1:7">
      <c r="C14" t="str">
        <f>home!P3</f>
        <v xml:space="preserve">nvidia </v>
      </c>
      <c r="E14" s="2">
        <f>home!R3</f>
        <v>0.8</v>
      </c>
      <c r="G14">
        <f>_xlfn.XLOOKUP(C14,A:A,C:C)</f>
        <v>1.3</v>
      </c>
    </row>
    <row r="16" spans="1:7">
      <c r="C16" t="str">
        <f>home!P5</f>
        <v>mcdonalds</v>
      </c>
      <c r="E16" s="2">
        <f>home!R5</f>
        <v>9.9999999999999978E-2</v>
      </c>
      <c r="G16">
        <f>_xlfn.XLOOKUP(C16,A:A,C:C)</f>
        <v>0.85</v>
      </c>
    </row>
    <row r="18" spans="5:7">
      <c r="E18" s="2">
        <f>SUM(E12+E14+E16)</f>
        <v>1</v>
      </c>
    </row>
    <row r="19" spans="5:7">
      <c r="G19" s="11">
        <f>SUMPRODUCT(E12:E16,G12:G16)</f>
        <v>1.22</v>
      </c>
    </row>
    <row r="20" spans="5:7">
      <c r="G20" cm="1">
        <f t="array" ref="G20">_xlfn.IFS(G19&gt;=1.5,100,G19&gt;=1.2,90,G19&gt;=1,80,G19&gt;=0.8,70,G19&gt;=0.6,60,G19&gt;=0.4,40,G19&gt;=0.2,20,TRUE,0)</f>
        <v>90</v>
      </c>
    </row>
  </sheetData>
  <conditionalFormatting sqref="G20">
    <cfRule type="cellIs" dxfId="3" priority="4" operator="greaterThanOrEqual">
      <formula>1.2</formula>
    </cfRule>
  </conditionalFormatting>
  <conditionalFormatting sqref="G20">
    <cfRule type="cellIs" dxfId="2" priority="3" operator="between">
      <formula>0.8</formula>
      <formula>1.19</formula>
    </cfRule>
  </conditionalFormatting>
  <conditionalFormatting sqref="G20">
    <cfRule type="cellIs" dxfId="1" priority="2" operator="between">
      <formula>0.5</formula>
      <formula>0.79</formula>
    </cfRule>
  </conditionalFormatting>
  <conditionalFormatting sqref="G20">
    <cfRule type="cellIs" dxfId="0" priority="1" operator="lessThan">
      <formula>0.5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7CC8-F876-4DC7-ABA6-EDD213944A2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B10C-FF04-4E6B-9C6A-7DC782F1D2C2}">
  <dimension ref="F5:J19"/>
  <sheetViews>
    <sheetView workbookViewId="0">
      <selection activeCell="F16" sqref="F16"/>
    </sheetView>
  </sheetViews>
  <sheetFormatPr defaultRowHeight="15"/>
  <sheetData>
    <row r="5" spans="6:10">
      <c r="H5" s="4" t="s">
        <v>11</v>
      </c>
    </row>
    <row r="9" spans="6:10">
      <c r="F9" t="s">
        <v>20</v>
      </c>
      <c r="H9" s="3">
        <v>0.1</v>
      </c>
      <c r="J9">
        <f>_xlfn.XLOOKUP(F9,F:F,beta!H:H)</f>
        <v>0</v>
      </c>
    </row>
    <row r="11" spans="6:10">
      <c r="F11" t="s">
        <v>6</v>
      </c>
      <c r="H11" s="3">
        <v>0.75</v>
      </c>
      <c r="J11">
        <f>_xlfn.XLOOKUP(F11,F:F,beta!H:H)</f>
        <v>0</v>
      </c>
    </row>
    <row r="13" spans="6:10">
      <c r="F13" t="s">
        <v>20</v>
      </c>
      <c r="H13" s="3">
        <v>0.2</v>
      </c>
      <c r="J13">
        <f>_xlfn.XLOOKUP(F13,F:F,beta!H:H)</f>
        <v>0</v>
      </c>
    </row>
    <row r="16" spans="6:10">
      <c r="H16" s="3">
        <f>SUM(H9+H11+H13)</f>
        <v>1.05</v>
      </c>
    </row>
    <row r="18" spans="7:10">
      <c r="G18" t="str">
        <f>IF(SUM(H9+H11+H13)=100%,"valid","must add up to 100%")</f>
        <v>must add up to 100%</v>
      </c>
    </row>
    <row r="19" spans="7:10">
      <c r="J19">
        <f>SUMPRODUCT(H9:H13,J9:J13)</f>
        <v>0</v>
      </c>
    </row>
  </sheetData>
  <dataValidations count="2">
    <dataValidation type="list" allowBlank="1" showInputMessage="1" showErrorMessage="1" sqref="F9 F11 F13" xr:uid="{1BCDB293-68B0-4DD1-9C09-4E11F15E4DCB}">
      <formula1>$C$1:$C$9</formula1>
    </dataValidation>
    <dataValidation type="list" allowBlank="1" showInputMessage="1" showErrorMessage="1" sqref="H9 H11 H13" xr:uid="{CAC78C86-871A-4855-A2DE-B493C7726307}">
      <formula1>$J$16:$J$35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2026-07-06T14:46:24Z</dcterms:created>
  <dcterms:modified xsi:type="dcterms:W3CDTF">2026-07-08T18:57:56Z</dcterms:modified>
  <cp:category/>
  <cp:contentStatus/>
</cp:coreProperties>
</file>